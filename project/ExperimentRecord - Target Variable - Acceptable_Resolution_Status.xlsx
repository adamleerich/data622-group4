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29"/>
  <workbookPr/>
  <mc:AlternateContent xmlns:mc="http://schemas.openxmlformats.org/markup-compatibility/2006">
    <mc:Choice Requires="x15">
      <x15ac:absPath xmlns:x15ac="http://schemas.microsoft.com/office/spreadsheetml/2010/11/ac" url="C:\work\school\SPS\DATA622\FinalProject\"/>
    </mc:Choice>
  </mc:AlternateContent>
  <xr:revisionPtr revIDLastSave="0" documentId="13_ncr:1_{C5964362-EB17-4047-B14E-55E009E39045}" xr6:coauthVersionLast="46" xr6:coauthVersionMax="46" xr10:uidLastSave="{00000000-0000-0000-0000-000000000000}"/>
  <bookViews>
    <workbookView xWindow="-360" yWindow="1260" windowWidth="12825" windowHeight="86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1" l="1"/>
  <c r="C13" i="1" s="1"/>
  <c r="L13" i="1"/>
  <c r="P13" i="1"/>
  <c r="N13" i="1"/>
  <c r="P12" i="1"/>
  <c r="P11" i="1"/>
  <c r="P10" i="1"/>
  <c r="P9" i="1"/>
  <c r="P8" i="1"/>
  <c r="P7" i="1"/>
  <c r="P6" i="1"/>
  <c r="P5" i="1"/>
  <c r="P4" i="1"/>
  <c r="P3" i="1"/>
  <c r="B3" i="1"/>
  <c r="C3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N11" i="1"/>
  <c r="L11" i="1"/>
  <c r="R10" i="1"/>
  <c r="B11" i="1"/>
  <c r="C11" i="1" s="1"/>
  <c r="N12" i="1"/>
  <c r="N10" i="1"/>
  <c r="N9" i="1"/>
  <c r="N8" i="1"/>
  <c r="N7" i="1"/>
  <c r="N6" i="1"/>
  <c r="N5" i="1"/>
  <c r="N4" i="1"/>
  <c r="N3" i="1"/>
  <c r="L12" i="1"/>
  <c r="L10" i="1"/>
  <c r="L9" i="1"/>
  <c r="L8" i="1"/>
  <c r="L7" i="1"/>
  <c r="L6" i="1"/>
  <c r="L5" i="1"/>
  <c r="L4" i="1"/>
  <c r="L3" i="1"/>
  <c r="A12" i="1"/>
  <c r="A13" i="1" s="1"/>
  <c r="A14" i="1" s="1"/>
  <c r="A15" i="1" s="1"/>
  <c r="A16" i="1" s="1"/>
  <c r="A17" i="1" s="1"/>
  <c r="C12" i="1" l="1"/>
  <c r="D12" i="1"/>
</calcChain>
</file>

<file path=xl/sharedStrings.xml><?xml version="1.0" encoding="utf-8"?>
<sst xmlns="http://schemas.openxmlformats.org/spreadsheetml/2006/main" count="30" uniqueCount="28">
  <si>
    <t>Size</t>
  </si>
  <si>
    <t>Test Size</t>
  </si>
  <si>
    <t>Size - NAs</t>
  </si>
  <si>
    <t>RF 1</t>
  </si>
  <si>
    <t>RF 2</t>
  </si>
  <si>
    <t>RF 3</t>
  </si>
  <si>
    <t>Random Forest Accuracies</t>
  </si>
  <si>
    <t>RF 3 ntree</t>
  </si>
  <si>
    <t>seconds</t>
  </si>
  <si>
    <t>minutes</t>
  </si>
  <si>
    <t>Variable Size</t>
  </si>
  <si>
    <t>SVM</t>
  </si>
  <si>
    <t>SVM Times</t>
  </si>
  <si>
    <t>RF Times</t>
  </si>
  <si>
    <t>SVM Tuning was on.</t>
  </si>
  <si>
    <t>Notes</t>
  </si>
  <si>
    <t>RF 3 - tuned for mtry = 9 and various mtree values</t>
  </si>
  <si>
    <t>RF 2 - tuned for mtry = 9</t>
  </si>
  <si>
    <t>RF 1 - plain vanilla Random Forest with no tuning.</t>
  </si>
  <si>
    <t>NAs</t>
  </si>
  <si>
    <t>%NAs</t>
  </si>
  <si>
    <t>O(n)</t>
  </si>
  <si>
    <t>SVM 1 - linear, gamma = 0.05, cost = 6</t>
  </si>
  <si>
    <t>SVM 2 - radial, gamma = 0.005, cost = 1</t>
  </si>
  <si>
    <t>SVM 3 - NOT EXECUTED - polynomial, could not even execute at size 400.</t>
  </si>
  <si>
    <t>SVM Accuracies</t>
  </si>
  <si>
    <t>SVM 1</t>
  </si>
  <si>
    <t>SVM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</si>
</sst>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Border="1"/>
    <xf numFmtId="0" fontId="0" fillId="0" borderId="9" xfId="0" applyBorder="1"/>
    <xf numFmtId="0" fontId="0" fillId="0" borderId="10" xfId="0" applyBorder="1"/>
    <xf numFmtId="0" fontId="1" fillId="0" borderId="1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2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2" fontId="0" fillId="0" borderId="10" xfId="0" applyNumberFormat="1" applyBorder="1"/>
    <xf numFmtId="2" fontId="0" fillId="0" borderId="9" xfId="0" applyNumberFormat="1" applyBorder="1"/>
    <xf numFmtId="0" fontId="0" fillId="2" borderId="10" xfId="0" applyFill="1" applyBorder="1"/>
    <xf numFmtId="0" fontId="0" fillId="2" borderId="9" xfId="0" applyFill="1" applyBorder="1"/>
    <xf numFmtId="0" fontId="0" fillId="2" borderId="0" xfId="0" applyFill="1"/>
    <xf numFmtId="0" fontId="1" fillId="0" borderId="0" xfId="0" applyFont="1"/>
    <xf numFmtId="10" fontId="0" fillId="0" borderId="10" xfId="0" applyNumberFormat="1" applyBorder="1"/>
    <xf numFmtId="164" fontId="0" fillId="0" borderId="10" xfId="0" applyNumberFormat="1" applyBorder="1"/>
    <xf numFmtId="164" fontId="0" fillId="0" borderId="9" xfId="0" applyNumberFormat="1" applyBorder="1"/>
    <xf numFmtId="0" fontId="1" fillId="0" borderId="1" xfId="0" applyFont="1" applyFill="1" applyBorder="1"/>
    <xf numFmtId="0" fontId="1" fillId="0" borderId="2" xfId="0" applyFont="1" applyFill="1" applyBorder="1"/>
    <xf numFmtId="10" fontId="0" fillId="0" borderId="9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26"/>
  <sheetViews>
    <sheetView tabSelected="1" workbookViewId="0"/>
  </sheetViews>
  <sheetFormatPr defaultRowHeight="15" x14ac:dyDescent="0.25"/>
  <cols>
    <col min="4" max="4" width="10.28515625" customWidth="1"/>
    <col min="8" max="8" width="10.85546875" customWidth="1"/>
    <col min="15" max="15" width="13.85546875" customWidth="1"/>
  </cols>
  <sheetData>
    <row r="1" spans="1:57" x14ac:dyDescent="0.25">
      <c r="A1" s="4" t="s">
        <v>0</v>
      </c>
      <c r="B1" s="4" t="s">
        <v>19</v>
      </c>
      <c r="C1" s="4" t="s">
        <v>20</v>
      </c>
      <c r="D1" s="4" t="s">
        <v>1</v>
      </c>
      <c r="E1" s="5" t="s">
        <v>6</v>
      </c>
      <c r="F1" s="6"/>
      <c r="G1" s="6"/>
      <c r="H1" s="7"/>
      <c r="I1" s="5" t="s">
        <v>25</v>
      </c>
      <c r="J1" s="7"/>
      <c r="K1" s="5" t="s">
        <v>13</v>
      </c>
      <c r="L1" s="7"/>
      <c r="M1" s="5" t="s">
        <v>12</v>
      </c>
      <c r="N1" s="7"/>
      <c r="O1" s="4" t="s">
        <v>11</v>
      </c>
      <c r="P1" s="21" t="s">
        <v>21</v>
      </c>
    </row>
    <row r="2" spans="1:57" ht="15.75" thickBot="1" x14ac:dyDescent="0.3">
      <c r="A2" s="8"/>
      <c r="B2" s="8"/>
      <c r="C2" s="8"/>
      <c r="D2" s="8" t="s">
        <v>2</v>
      </c>
      <c r="E2" s="9" t="s">
        <v>3</v>
      </c>
      <c r="F2" s="10" t="s">
        <v>4</v>
      </c>
      <c r="G2" s="10" t="s">
        <v>5</v>
      </c>
      <c r="H2" s="11" t="s">
        <v>7</v>
      </c>
      <c r="I2" s="9" t="s">
        <v>26</v>
      </c>
      <c r="J2" s="11" t="s">
        <v>27</v>
      </c>
      <c r="K2" s="9" t="s">
        <v>8</v>
      </c>
      <c r="L2" s="11" t="s">
        <v>9</v>
      </c>
      <c r="M2" s="9" t="s">
        <v>8</v>
      </c>
      <c r="N2" s="11" t="s">
        <v>9</v>
      </c>
      <c r="O2" s="8" t="s">
        <v>10</v>
      </c>
      <c r="P2" s="22"/>
    </row>
    <row r="3" spans="1:57" s="2" customFormat="1" x14ac:dyDescent="0.25">
      <c r="A3" s="3">
        <v>400</v>
      </c>
      <c r="B3" s="2">
        <f>A3-D3</f>
        <v>90</v>
      </c>
      <c r="C3" s="18">
        <f>B3/A3</f>
        <v>0.22500000000000001</v>
      </c>
      <c r="D3" s="3">
        <v>310</v>
      </c>
      <c r="E3" s="19">
        <v>0.89500000000000002</v>
      </c>
      <c r="F3" s="19">
        <v>0.89500000000000002</v>
      </c>
      <c r="G3" s="19">
        <v>0.89500000000000002</v>
      </c>
      <c r="H3" s="3">
        <v>500</v>
      </c>
      <c r="I3" s="19">
        <v>0.83299999999999996</v>
      </c>
      <c r="J3" s="19">
        <v>0.97399999999999998</v>
      </c>
      <c r="K3" s="3">
        <v>4</v>
      </c>
      <c r="L3" s="12">
        <f>K3/60</f>
        <v>6.6666666666666666E-2</v>
      </c>
      <c r="M3" s="14">
        <v>956</v>
      </c>
      <c r="N3" s="12">
        <f>M3/60</f>
        <v>15.933333333333334</v>
      </c>
      <c r="O3" s="3">
        <v>54</v>
      </c>
      <c r="P3" s="3">
        <f>LOG(M3,K3)</f>
        <v>4.9504334039903739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</row>
    <row r="4" spans="1:57" s="2" customFormat="1" x14ac:dyDescent="0.25">
      <c r="A4" s="2">
        <v>800</v>
      </c>
      <c r="B4" s="2">
        <f>A4-D4</f>
        <v>232</v>
      </c>
      <c r="C4" s="18">
        <f>B4/A4</f>
        <v>0.28999999999999998</v>
      </c>
      <c r="D4" s="2">
        <v>568</v>
      </c>
      <c r="E4" s="20">
        <v>0.96499999999999997</v>
      </c>
      <c r="F4" s="20">
        <v>0.97199999999999998</v>
      </c>
      <c r="G4" s="20">
        <v>0.96499999999999997</v>
      </c>
      <c r="H4" s="2">
        <v>400</v>
      </c>
      <c r="I4" s="20">
        <v>0.49299999999999999</v>
      </c>
      <c r="J4" s="20">
        <v>0.95099999999999996</v>
      </c>
      <c r="K4" s="2">
        <v>3</v>
      </c>
      <c r="L4" s="12">
        <f>K4/60</f>
        <v>0.05</v>
      </c>
      <c r="M4" s="2">
        <v>5.26</v>
      </c>
      <c r="N4" s="12">
        <f>M4/60</f>
        <v>8.7666666666666657E-2</v>
      </c>
      <c r="O4" s="2">
        <v>65</v>
      </c>
      <c r="P4" s="2">
        <f>LOG(M4,K4)</f>
        <v>1.5111163818877902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</row>
    <row r="5" spans="1:57" s="2" customFormat="1" x14ac:dyDescent="0.25">
      <c r="A5" s="2">
        <v>1600</v>
      </c>
      <c r="B5" s="2">
        <f>A5-D5</f>
        <v>433</v>
      </c>
      <c r="C5" s="18">
        <f>B5/A5</f>
        <v>0.270625</v>
      </c>
      <c r="D5" s="2">
        <v>1167</v>
      </c>
      <c r="E5" s="20">
        <v>0.94499999999999995</v>
      </c>
      <c r="F5" s="20">
        <v>0.94199999999999995</v>
      </c>
      <c r="G5" s="20">
        <v>0.94199999999999995</v>
      </c>
      <c r="H5" s="2">
        <v>300</v>
      </c>
      <c r="I5" s="20">
        <v>0.753</v>
      </c>
      <c r="J5" s="20">
        <v>0.92900000000000005</v>
      </c>
      <c r="K5" s="2">
        <v>3.95</v>
      </c>
      <c r="L5" s="12">
        <f>K5/60</f>
        <v>6.5833333333333341E-2</v>
      </c>
      <c r="M5" s="15">
        <v>3367</v>
      </c>
      <c r="N5" s="12">
        <f>M5/60</f>
        <v>56.116666666666667</v>
      </c>
      <c r="O5" s="2">
        <v>70</v>
      </c>
      <c r="P5" s="2">
        <f>LOG(M5,K5)</f>
        <v>5.9122700097698022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</row>
    <row r="6" spans="1:57" s="2" customFormat="1" x14ac:dyDescent="0.25">
      <c r="A6" s="2">
        <v>3200</v>
      </c>
      <c r="B6" s="2">
        <f>A6-D6</f>
        <v>853</v>
      </c>
      <c r="C6" s="18">
        <f>B6/A6</f>
        <v>0.26656249999999998</v>
      </c>
      <c r="D6" s="2">
        <v>2347</v>
      </c>
      <c r="E6" s="20">
        <v>0.94199999999999995</v>
      </c>
      <c r="F6" s="20">
        <v>0.94399999999999995</v>
      </c>
      <c r="G6" s="20">
        <v>0.94399999999999995</v>
      </c>
      <c r="H6" s="2">
        <v>350</v>
      </c>
      <c r="I6" s="20">
        <v>0.49399999999999999</v>
      </c>
      <c r="J6" s="20">
        <v>0.93700000000000006</v>
      </c>
      <c r="K6" s="2">
        <v>6</v>
      </c>
      <c r="L6" s="12">
        <f>K6/60</f>
        <v>0.1</v>
      </c>
      <c r="M6" s="2">
        <v>21.99</v>
      </c>
      <c r="N6" s="12">
        <f>M6/60</f>
        <v>0.36649999999999999</v>
      </c>
      <c r="O6" s="2">
        <v>75</v>
      </c>
      <c r="P6" s="2">
        <f>LOG(M6,K6)</f>
        <v>1.7248898960183479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</row>
    <row r="7" spans="1:57" s="2" customFormat="1" x14ac:dyDescent="0.25">
      <c r="A7" s="2">
        <v>6400</v>
      </c>
      <c r="B7" s="2">
        <f>A7-D7</f>
        <v>1709</v>
      </c>
      <c r="C7" s="18">
        <f>B7/A7</f>
        <v>0.26703125</v>
      </c>
      <c r="D7" s="2">
        <v>4691</v>
      </c>
      <c r="E7" s="20">
        <v>0.95</v>
      </c>
      <c r="F7" s="20">
        <v>0.94499999999999995</v>
      </c>
      <c r="G7" s="20">
        <v>0.94599999999999995</v>
      </c>
      <c r="H7" s="2">
        <v>400</v>
      </c>
      <c r="I7" s="20">
        <v>0.60399999999999998</v>
      </c>
      <c r="J7" s="20">
        <v>0.95499999999999996</v>
      </c>
      <c r="K7" s="2">
        <v>9.8000000000000007</v>
      </c>
      <c r="L7" s="12">
        <f>K7/60</f>
        <v>0.16333333333333336</v>
      </c>
      <c r="M7" s="2">
        <v>3.84</v>
      </c>
      <c r="N7" s="12">
        <f>M7/60</f>
        <v>6.4000000000000001E-2</v>
      </c>
      <c r="O7" s="2">
        <v>77</v>
      </c>
      <c r="P7" s="2">
        <f>LOG(M7,K7)</f>
        <v>0.58950348330909541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</row>
    <row r="8" spans="1:57" s="2" customFormat="1" x14ac:dyDescent="0.25">
      <c r="A8" s="2">
        <v>12800</v>
      </c>
      <c r="B8" s="2">
        <f>A8-D8</f>
        <v>3597</v>
      </c>
      <c r="C8" s="18">
        <f>B8/A8</f>
        <v>0.28101562499999999</v>
      </c>
      <c r="D8" s="2">
        <v>9203</v>
      </c>
      <c r="E8" s="20">
        <v>0.94499999999999995</v>
      </c>
      <c r="F8" s="20">
        <v>0.94</v>
      </c>
      <c r="G8" s="20">
        <v>0.94099999999999995</v>
      </c>
      <c r="H8" s="2">
        <v>400</v>
      </c>
      <c r="I8" s="20">
        <v>0.48299999999999998</v>
      </c>
      <c r="J8" s="20">
        <v>0.93</v>
      </c>
      <c r="K8" s="2">
        <v>15.89</v>
      </c>
      <c r="L8" s="12">
        <f>K8/60</f>
        <v>0.26483333333333337</v>
      </c>
      <c r="M8" s="2">
        <v>18.22</v>
      </c>
      <c r="N8" s="12">
        <f>M8/60</f>
        <v>0.30366666666666664</v>
      </c>
      <c r="O8" s="2">
        <v>91</v>
      </c>
      <c r="P8" s="2">
        <f>LOG(M8,K8)</f>
        <v>1.0494740597266961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</row>
    <row r="9" spans="1:57" s="2" customFormat="1" x14ac:dyDescent="0.25">
      <c r="A9" s="2">
        <v>25600</v>
      </c>
      <c r="B9" s="2">
        <f>A9-D9</f>
        <v>7461</v>
      </c>
      <c r="C9" s="18">
        <f>B9/A9</f>
        <v>0.2914453125</v>
      </c>
      <c r="D9" s="2">
        <v>18139</v>
      </c>
      <c r="E9" s="20">
        <v>0.94399999999999995</v>
      </c>
      <c r="F9" s="20">
        <v>0.95099999999999996</v>
      </c>
      <c r="G9" s="20">
        <v>0.95099999999999996</v>
      </c>
      <c r="H9" s="2">
        <v>400</v>
      </c>
      <c r="I9" s="20">
        <v>0.54500000000000004</v>
      </c>
      <c r="J9" s="20">
        <v>0.92400000000000004</v>
      </c>
      <c r="K9" s="2">
        <v>30.29</v>
      </c>
      <c r="L9" s="12">
        <f>K9/60</f>
        <v>0.50483333333333336</v>
      </c>
      <c r="M9" s="2">
        <v>48.36</v>
      </c>
      <c r="N9" s="12">
        <f>M9/60</f>
        <v>0.80599999999999994</v>
      </c>
      <c r="O9" s="2">
        <v>102</v>
      </c>
      <c r="P9" s="2">
        <f>LOG(M9,K9)</f>
        <v>1.1371681081019618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</row>
    <row r="10" spans="1:57" s="2" customFormat="1" x14ac:dyDescent="0.25">
      <c r="A10" s="2">
        <v>65000</v>
      </c>
      <c r="B10" s="2">
        <f>A10-D10</f>
        <v>18047</v>
      </c>
      <c r="C10" s="18">
        <f>B10/A10</f>
        <v>0.27764615384615382</v>
      </c>
      <c r="D10" s="2">
        <v>46953</v>
      </c>
      <c r="E10" s="20">
        <v>0.94199999999999995</v>
      </c>
      <c r="F10" s="20">
        <v>0.95299999999999996</v>
      </c>
      <c r="G10" s="20">
        <v>0.95299999999999996</v>
      </c>
      <c r="H10" s="2">
        <v>420</v>
      </c>
      <c r="I10" s="20">
        <v>0.57999999999999996</v>
      </c>
      <c r="J10" s="20">
        <v>0.92600000000000005</v>
      </c>
      <c r="K10" s="2">
        <v>83.57</v>
      </c>
      <c r="L10" s="12">
        <f>K10/60</f>
        <v>1.3928333333333331</v>
      </c>
      <c r="M10" s="2">
        <v>313.54000000000002</v>
      </c>
      <c r="N10" s="12">
        <f>M10/60</f>
        <v>5.2256666666666671</v>
      </c>
      <c r="O10" s="2">
        <v>110</v>
      </c>
      <c r="P10" s="2">
        <f>LOG(M10,K10)</f>
        <v>1.2987656053095133</v>
      </c>
      <c r="Q10" s="1"/>
      <c r="R10" s="1">
        <f>195000*0.3</f>
        <v>58500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</row>
    <row r="11" spans="1:57" s="2" customFormat="1" x14ac:dyDescent="0.25">
      <c r="A11" s="2">
        <v>130000</v>
      </c>
      <c r="B11" s="2">
        <f>A11-D11</f>
        <v>37958</v>
      </c>
      <c r="C11" s="18">
        <f>B11/A11</f>
        <v>0.2919846153846154</v>
      </c>
      <c r="D11" s="2">
        <v>92042</v>
      </c>
      <c r="E11" s="20">
        <v>0.94099999999999995</v>
      </c>
      <c r="F11" s="20">
        <v>0.94799999999999995</v>
      </c>
      <c r="G11" s="20">
        <v>0.94799999999999995</v>
      </c>
      <c r="H11" s="2">
        <v>420</v>
      </c>
      <c r="I11" s="20">
        <v>0.56999999999999995</v>
      </c>
      <c r="J11" s="20">
        <v>0.91700000000000004</v>
      </c>
      <c r="K11" s="2">
        <v>183.31</v>
      </c>
      <c r="L11" s="13">
        <f>K11/60</f>
        <v>3.0551666666666666</v>
      </c>
      <c r="M11" s="2">
        <v>2098</v>
      </c>
      <c r="N11" s="13">
        <f>M11/60</f>
        <v>34.966666666666669</v>
      </c>
      <c r="O11" s="2">
        <v>117</v>
      </c>
      <c r="P11" s="2">
        <f>LOG(M11,K11)</f>
        <v>1.4677561865496691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</row>
    <row r="12" spans="1:57" s="2" customFormat="1" x14ac:dyDescent="0.25">
      <c r="A12" s="2">
        <f>A11+65000</f>
        <v>195000</v>
      </c>
      <c r="B12" s="2">
        <v>58456</v>
      </c>
      <c r="C12" s="18">
        <f>B12/A12</f>
        <v>0.299774358974359</v>
      </c>
      <c r="D12" s="2">
        <f>A12-B12</f>
        <v>136544</v>
      </c>
      <c r="E12" s="20">
        <v>0.93100000000000005</v>
      </c>
      <c r="F12" s="20">
        <v>0.94599999999999995</v>
      </c>
      <c r="G12" s="20">
        <v>0.94599999999999995</v>
      </c>
      <c r="H12" s="2">
        <v>420</v>
      </c>
      <c r="I12" s="20">
        <v>0.59</v>
      </c>
      <c r="J12" s="20">
        <v>0.91500000000000004</v>
      </c>
      <c r="K12" s="2">
        <v>333.91</v>
      </c>
      <c r="L12" s="12">
        <f>K12/60</f>
        <v>5.5651666666666673</v>
      </c>
      <c r="M12" s="2">
        <v>5036</v>
      </c>
      <c r="N12" s="12">
        <f>M12/60</f>
        <v>83.933333333333337</v>
      </c>
      <c r="O12" s="2">
        <v>123</v>
      </c>
      <c r="P12" s="2">
        <f>LOG(M12,K12)</f>
        <v>1.4669688361955602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</row>
    <row r="13" spans="1:57" s="2" customFormat="1" x14ac:dyDescent="0.25">
      <c r="A13" s="2">
        <f>A12+65000</f>
        <v>260000</v>
      </c>
      <c r="B13" s="2">
        <f>A13-D13</f>
        <v>76303</v>
      </c>
      <c r="C13" s="23">
        <f>B13/A13</f>
        <v>0.29347307692307695</v>
      </c>
      <c r="D13" s="2">
        <v>183697</v>
      </c>
      <c r="E13" s="2">
        <v>0.92700000000000005</v>
      </c>
      <c r="F13" s="2">
        <v>0.94399999999999995</v>
      </c>
      <c r="G13" s="2">
        <v>0.94399999999999995</v>
      </c>
      <c r="H13" s="2">
        <v>420</v>
      </c>
      <c r="I13" s="20">
        <v>0.51</v>
      </c>
      <c r="J13" s="20">
        <v>0.91</v>
      </c>
      <c r="K13" s="13">
        <v>526.95000000000005</v>
      </c>
      <c r="L13" s="13">
        <f>K13/60</f>
        <v>8.7825000000000006</v>
      </c>
      <c r="M13" s="13">
        <v>14329.04</v>
      </c>
      <c r="N13" s="13">
        <f>M13/60</f>
        <v>238.81733333333335</v>
      </c>
      <c r="O13" s="2">
        <v>125</v>
      </c>
      <c r="P13" s="2">
        <f>LOG(M13,K13)</f>
        <v>1.527027631920435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</row>
    <row r="14" spans="1:57" s="2" customFormat="1" x14ac:dyDescent="0.25">
      <c r="A14" s="2">
        <f>A13+65000</f>
        <v>325000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</row>
    <row r="15" spans="1:57" s="2" customFormat="1" x14ac:dyDescent="0.25">
      <c r="A15" s="2">
        <f>A14+65000</f>
        <v>390000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</row>
    <row r="16" spans="1:57" s="2" customFormat="1" x14ac:dyDescent="0.25">
      <c r="A16" s="2">
        <f>A15+65000</f>
        <v>455000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</row>
    <row r="17" spans="1:16" x14ac:dyDescent="0.25">
      <c r="A17" s="2">
        <f>A16+65000</f>
        <v>520000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6" x14ac:dyDescent="0.25">
      <c r="A19" s="17" t="s">
        <v>15</v>
      </c>
    </row>
    <row r="20" spans="1:16" x14ac:dyDescent="0.25">
      <c r="A20" s="16"/>
      <c r="B20" t="s">
        <v>14</v>
      </c>
    </row>
    <row r="21" spans="1:16" x14ac:dyDescent="0.25">
      <c r="A21" t="s">
        <v>18</v>
      </c>
    </row>
    <row r="22" spans="1:16" x14ac:dyDescent="0.25">
      <c r="A22" t="s">
        <v>17</v>
      </c>
    </row>
    <row r="23" spans="1:16" x14ac:dyDescent="0.25">
      <c r="A23" t="s">
        <v>16</v>
      </c>
    </row>
    <row r="24" spans="1:16" x14ac:dyDescent="0.25">
      <c r="A24" t="s">
        <v>22</v>
      </c>
    </row>
    <row r="25" spans="1:16" x14ac:dyDescent="0.25">
      <c r="A25" t="s">
        <v>23</v>
      </c>
    </row>
    <row r="26" spans="1:16" x14ac:dyDescent="0.25">
      <c r="A26" t="s">
        <v>24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RFUSER</dc:creator>
  <cp:lastModifiedBy>RFUSER</cp:lastModifiedBy>
  <dcterms:created xsi:type="dcterms:W3CDTF">2015-06-05T18:17:20Z</dcterms:created>
  <dcterms:modified xsi:type="dcterms:W3CDTF">2021-05-06T19:30:58Z</dcterms:modified>
</cp:coreProperties>
</file>